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eogns\Desktop\이력서\펄어비스 데이터 계약지\펄어비스 데이터 입력 계약직_제출자료\게임 테이블 파일\통합 테이블\"/>
    </mc:Choice>
  </mc:AlternateContent>
  <xr:revisionPtr revIDLastSave="0" documentId="13_ncr:1_{7FFB5A2E-0DF8-40F3-9BAF-D198DD1C6602}" xr6:coauthVersionLast="47" xr6:coauthVersionMax="47" xr10:uidLastSave="{00000000-0000-0000-0000-000000000000}"/>
  <bookViews>
    <workbookView xWindow="0" yWindow="345" windowWidth="28800" windowHeight="15855" activeTab="3" xr2:uid="{FA3842A0-CA8D-4EAC-BB4F-EFF7AC8A468C}"/>
  </bookViews>
  <sheets>
    <sheet name="테이블 설명" sheetId="5" r:id="rId1"/>
    <sheet name="Monster 테이블" sheetId="2" r:id="rId2"/>
    <sheet name="MonsterCreateType 테이블" sheetId="4" r:id="rId3"/>
    <sheet name="MonsterMoveType 테이블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L3" i="2" s="1"/>
  <c r="M3" i="2" s="1"/>
  <c r="K4" i="2"/>
  <c r="L4" i="2" s="1"/>
  <c r="M4" i="2" s="1"/>
  <c r="K5" i="2"/>
  <c r="K6" i="2"/>
  <c r="K7" i="2"/>
  <c r="K8" i="2"/>
  <c r="K9" i="2"/>
  <c r="K10" i="2"/>
  <c r="K11" i="2"/>
  <c r="G3" i="4"/>
  <c r="G4" i="4"/>
  <c r="G5" i="4"/>
  <c r="G6" i="4"/>
  <c r="G7" i="4"/>
  <c r="G8" i="4"/>
  <c r="G9" i="4"/>
  <c r="D4" i="2"/>
  <c r="D5" i="2"/>
  <c r="D6" i="2"/>
  <c r="D7" i="2"/>
  <c r="D8" i="2"/>
  <c r="D9" i="2"/>
  <c r="D10" i="2"/>
  <c r="D11" i="2"/>
  <c r="D3" i="2"/>
  <c r="L11" i="2"/>
  <c r="M11" i="2" s="1"/>
  <c r="L10" i="2"/>
  <c r="M10" i="2" s="1"/>
  <c r="L9" i="2"/>
  <c r="M9" i="2" s="1"/>
  <c r="L5" i="2"/>
  <c r="M5" i="2" s="1"/>
  <c r="L6" i="2"/>
  <c r="M6" i="2" s="1"/>
  <c r="L7" i="2"/>
  <c r="M7" i="2" s="1"/>
  <c r="L8" i="2"/>
  <c r="M8" i="2" s="1"/>
</calcChain>
</file>

<file path=xl/sharedStrings.xml><?xml version="1.0" encoding="utf-8"?>
<sst xmlns="http://schemas.openxmlformats.org/spreadsheetml/2006/main" count="112" uniqueCount="76">
  <si>
    <t>maxHp</t>
    <phoneticPr fontId="1" type="noConversion"/>
  </si>
  <si>
    <t>Score</t>
    <phoneticPr fontId="1" type="noConversion"/>
  </si>
  <si>
    <t>Skeleton</t>
    <phoneticPr fontId="1" type="noConversion"/>
  </si>
  <si>
    <t>Experience /10</t>
    <phoneticPr fontId="1" type="noConversion"/>
  </si>
  <si>
    <t>몬스터가 걸어서 움직인다.</t>
    <phoneticPr fontId="1" type="noConversion"/>
  </si>
  <si>
    <t>몬스터가 뛰어서 움직인다.</t>
    <phoneticPr fontId="1" type="noConversion"/>
  </si>
  <si>
    <t>몬스터가 점멸을 하며 움직인다.</t>
    <phoneticPr fontId="1" type="noConversion"/>
  </si>
  <si>
    <t>몬스터가 부유하며 움직인다.</t>
    <phoneticPr fontId="1" type="noConversion"/>
  </si>
  <si>
    <t>Individual</t>
  </si>
  <si>
    <t>Individual</t>
    <phoneticPr fontId="1" type="noConversion"/>
  </si>
  <si>
    <t>Walk</t>
    <phoneticPr fontId="1" type="noConversion"/>
  </si>
  <si>
    <t>Run</t>
    <phoneticPr fontId="1" type="noConversion"/>
  </si>
  <si>
    <t>Blink</t>
    <phoneticPr fontId="1" type="noConversion"/>
  </si>
  <si>
    <t>Wall</t>
    <phoneticPr fontId="1" type="noConversion"/>
  </si>
  <si>
    <t>포위하여</t>
    <phoneticPr fontId="1" type="noConversion"/>
  </si>
  <si>
    <t>군집으로</t>
    <phoneticPr fontId="1" type="noConversion"/>
  </si>
  <si>
    <t>개별로</t>
    <phoneticPr fontId="1" type="noConversion"/>
  </si>
  <si>
    <t>Wolf</t>
    <phoneticPr fontId="1" type="noConversion"/>
  </si>
  <si>
    <t>Goblin</t>
    <phoneticPr fontId="1" type="noConversion"/>
  </si>
  <si>
    <t>Orc</t>
    <phoneticPr fontId="1" type="noConversion"/>
  </si>
  <si>
    <t>Zombie</t>
    <phoneticPr fontId="1" type="noConversion"/>
  </si>
  <si>
    <t>Troll</t>
    <phoneticPr fontId="1" type="noConversion"/>
  </si>
  <si>
    <t>Colony01</t>
  </si>
  <si>
    <t>Colony01</t>
    <phoneticPr fontId="1" type="noConversion"/>
  </si>
  <si>
    <t>Colony02</t>
  </si>
  <si>
    <t>Colony02</t>
    <phoneticPr fontId="1" type="noConversion"/>
  </si>
  <si>
    <t>Colony03</t>
  </si>
  <si>
    <t>Colony03</t>
    <phoneticPr fontId="1" type="noConversion"/>
  </si>
  <si>
    <t>Surround01</t>
  </si>
  <si>
    <t>Surround01</t>
    <phoneticPr fontId="1" type="noConversion"/>
  </si>
  <si>
    <t>Surround02</t>
    <phoneticPr fontId="1" type="noConversion"/>
  </si>
  <si>
    <t>Kobold</t>
    <phoneticPr fontId="1" type="noConversion"/>
  </si>
  <si>
    <t>Harpy</t>
    <phoneticPr fontId="1" type="noConversion"/>
  </si>
  <si>
    <t>Wall</t>
  </si>
  <si>
    <t>Walk</t>
  </si>
  <si>
    <t>Run</t>
  </si>
  <si>
    <t>Lich</t>
    <phoneticPr fontId="1" type="noConversion"/>
  </si>
  <si>
    <t>Blink</t>
  </si>
  <si>
    <t>벽처럼</t>
    <phoneticPr fontId="1" type="noConversion"/>
  </si>
  <si>
    <t>테이블 설명</t>
    <phoneticPr fontId="1" type="noConversion"/>
  </si>
  <si>
    <t># 속성</t>
    <phoneticPr fontId="1" type="noConversion"/>
  </si>
  <si>
    <t>01. 몬스터 정보 테이블</t>
    <phoneticPr fontId="1" type="noConversion"/>
  </si>
  <si>
    <t>02. 몬스터 생성 타입 테이블</t>
    <phoneticPr fontId="1" type="noConversion"/>
  </si>
  <si>
    <t>03. 몬스터 움직임 타입 테이블</t>
    <phoneticPr fontId="1" type="noConversion"/>
  </si>
  <si>
    <t># 링크</t>
    <phoneticPr fontId="1" type="noConversion"/>
  </si>
  <si>
    <t>Monster Create Type Table</t>
    <phoneticPr fontId="1" type="noConversion"/>
  </si>
  <si>
    <t>MaxHP / 10  + Damage + Speed</t>
    <phoneticPr fontId="1" type="noConversion"/>
  </si>
  <si>
    <t>Monster Move Type Table</t>
    <phoneticPr fontId="1" type="noConversion"/>
  </si>
  <si>
    <t># Foregin Key들은 데이터 유효성 검사의 '목록' 기능을 통해 정해진 문자값 이외에는 에러를 출력한다.</t>
    <phoneticPr fontId="1" type="noConversion"/>
  </si>
  <si>
    <t>Moster Table</t>
    <phoneticPr fontId="1" type="noConversion"/>
  </si>
  <si>
    <t># 정해진 CreateType에 따라서, Monster가 생성되는 방식이 달라진다.</t>
    <phoneticPr fontId="1" type="noConversion"/>
  </si>
  <si>
    <t># 정해진 MoveType에 따라서, Monster가 움직이는 방식이 달라진다.</t>
    <phoneticPr fontId="1" type="noConversion"/>
  </si>
  <si>
    <t>enemyNumber</t>
    <phoneticPr fontId="1" type="noConversion"/>
  </si>
  <si>
    <t>enemyName</t>
    <phoneticPr fontId="1" type="noConversion"/>
  </si>
  <si>
    <t>enemyPath</t>
    <phoneticPr fontId="1" type="noConversion"/>
  </si>
  <si>
    <t>createType</t>
    <phoneticPr fontId="1" type="noConversion"/>
  </si>
  <si>
    <t>moveType</t>
    <phoneticPr fontId="1" type="noConversion"/>
  </si>
  <si>
    <t>spawnTime</t>
    <phoneticPr fontId="1" type="noConversion"/>
  </si>
  <si>
    <t>damge</t>
    <phoneticPr fontId="1" type="noConversion"/>
  </si>
  <si>
    <t>speed</t>
    <phoneticPr fontId="1" type="noConversion"/>
  </si>
  <si>
    <t>experience</t>
    <phoneticPr fontId="1" type="noConversion"/>
  </si>
  <si>
    <t>score</t>
    <phoneticPr fontId="1" type="noConversion"/>
  </si>
  <si>
    <t>coin</t>
    <phoneticPr fontId="1" type="noConversion"/>
  </si>
  <si>
    <t>experience Formula</t>
    <phoneticPr fontId="1" type="noConversion"/>
  </si>
  <si>
    <t>score Formula</t>
    <phoneticPr fontId="1" type="noConversion"/>
  </si>
  <si>
    <t>coin Formula</t>
    <phoneticPr fontId="1" type="noConversion"/>
  </si>
  <si>
    <t># enemyNumber는 Primary Key입니다.</t>
    <phoneticPr fontId="1" type="noConversion"/>
  </si>
  <si>
    <t># 'createType' 속성과 'moveType' 속성은 Foreign Key로써, 각 각 MonsterCreateType Table과 MonsterMoveType Table과 연관됩니다.</t>
    <phoneticPr fontId="1" type="noConversion"/>
  </si>
  <si>
    <t># 'experience' 속성, 'score' 속성, 'coin' 속성은 같은 테이블에 존재하는 값들의 연산을 통해 구해진 값이다.</t>
    <phoneticPr fontId="1" type="noConversion"/>
  </si>
  <si>
    <t>createCount</t>
    <phoneticPr fontId="1" type="noConversion"/>
  </si>
  <si>
    <t>feature</t>
    <phoneticPr fontId="1" type="noConversion"/>
  </si>
  <si>
    <t>description</t>
    <phoneticPr fontId="1" type="noConversion"/>
  </si>
  <si>
    <t>min</t>
    <phoneticPr fontId="1" type="noConversion"/>
  </si>
  <si>
    <t>max</t>
    <phoneticPr fontId="1" type="noConversion"/>
  </si>
  <si>
    <t>Float</t>
  </si>
  <si>
    <t>Float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</si>
</sst>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5050"/>
      <name val="맑은 고딕"/>
      <family val="2"/>
      <charset val="129"/>
      <scheme val="minor"/>
    </font>
    <font>
      <sz val="11"/>
      <color rgb="FFFF5050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theme="6"/>
      </patternFill>
    </fill>
    <fill>
      <patternFill patternType="solid">
        <fgColor theme="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3" borderId="5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7" xfId="0" quotePrefix="1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10" xfId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6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70C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70C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505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EBFF14-9475-4173-8CC4-5A3947B8A7EF}" name="MonsterTable" displayName="MonsterTable" ref="B2:M11" totalsRowShown="0" headerRowDxfId="25" dataDxfId="24">
  <autoFilter ref="B2:M11" xr:uid="{A3EBFF14-9475-4173-8CC4-5A3947B8A7EF}"/>
  <tableColumns count="12">
    <tableColumn id="1" xr3:uid="{E2032F2E-1E45-4DB6-974D-60852D74853B}" name="enemyNumber" dataDxfId="23"/>
    <tableColumn id="4" xr3:uid="{AD911E56-2507-4A79-A404-06F2F9D8F60B}" name="enemyName" dataDxfId="22"/>
    <tableColumn id="12" xr3:uid="{23AFCD0F-6B81-417D-B233-EA38C416FE0D}" name="enemyPath" dataDxfId="21">
      <calculatedColumnFormula>"Enemy/Nomal/" &amp; MonsterTable[[#This Row],[enemyName]]</calculatedColumnFormula>
    </tableColumn>
    <tableColumn id="3" xr3:uid="{A2BB529E-43C0-40E4-A83B-439A759DDBE5}" name="createType" dataDxfId="20"/>
    <tableColumn id="2" xr3:uid="{52029B9E-077B-4128-9A35-BFA9CEF01C55}" name="moveType" dataDxfId="19"/>
    <tableColumn id="9" xr3:uid="{AE5C3536-CA36-4684-8B2B-38E5306F4550}" name="spawnTime" dataDxfId="18"/>
    <tableColumn id="5" xr3:uid="{40B11123-40E9-4AA6-B0D9-FDCF965FA419}" name="maxHp" dataDxfId="17"/>
    <tableColumn id="6" xr3:uid="{2CA9EE3A-102F-451B-947C-7EADBB13027D}" name="damge" dataDxfId="16"/>
    <tableColumn id="7" xr3:uid="{2E92B6C9-B40C-46B6-9CBC-069A21C9B226}" name="speed" dataDxfId="15"/>
    <tableColumn id="8" xr3:uid="{278B5557-A14B-46DC-8063-6C4A2DC5D3F5}" name="experience" dataDxfId="14">
      <calculatedColumnFormula>(MonsterTable[[#This Row],[maxHp]])/10 + MonsterTable[[#This Row],[damge]]+MonsterTable[[#This Row],[speed]]</calculatedColumnFormula>
    </tableColumn>
    <tableColumn id="10" xr3:uid="{7CC1E8D8-4B08-4F3E-89C0-19C71EAFE096}" name="score" dataDxfId="13">
      <calculatedColumnFormula>ROUND(MonsterTable[[#This Row],[experience]]/10, 0)</calculatedColumnFormula>
    </tableColumn>
    <tableColumn id="11" xr3:uid="{8E3C6D14-DDBC-44F7-8C45-81F962F9514D}" name="coin" dataDxfId="12">
      <calculatedColumnFormula>MonsterTable[[#This Row],[score]]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450920-03DD-495D-BB89-34513E13A8A6}" name="CreateType" displayName="CreateType" ref="B2:G9" totalsRowShown="0" headerRowDxfId="11" dataDxfId="10">
  <autoFilter ref="B2:G9" xr:uid="{71450920-03DD-495D-BB89-34513E13A8A6}"/>
  <tableColumns count="6">
    <tableColumn id="1" xr3:uid="{28EBEBDE-6C5F-4DE9-A53F-50595BEEC6AC}" name="createType" dataDxfId="9"/>
    <tableColumn id="3" xr3:uid="{51066EF8-5543-4138-8362-703D106F9394}" name="createCount" dataDxfId="8"/>
    <tableColumn id="6" xr3:uid="{6BB7ECBB-B6A3-4671-B39C-C95D2EFFDCC6}" name="min" dataDxfId="7"/>
    <tableColumn id="4" xr3:uid="{CCE453E9-55F4-4326-9FED-A1699CA69454}" name="max" dataDxfId="6"/>
    <tableColumn id="5" xr3:uid="{BF7CBE7F-507D-4FBF-B4F8-63F242DAA34E}" name="feature" dataDxfId="5"/>
    <tableColumn id="2" xr3:uid="{6E4AB49B-B4F3-4CD1-9C69-A681B18743DD}" name="description" dataDxfId="4">
      <calculatedColumnFormula>CreateType[[#This Row],[min]] &amp; "과 " &amp; CreateType[[#This Row],[max]] &amp; " 사이에서 " &amp; CreateType[[#This Row],[createCount]] &amp; "개의 몬스터를 " &amp; CreateType[[#This Row],[feature]] &amp; " 생성합니다."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385B0-3C0C-4583-8BA6-5E8F02CDD464}" name="MoveType" displayName="MoveType" ref="B2:C6" totalsRowShown="0" headerRowDxfId="3" dataDxfId="2">
  <autoFilter ref="B2:C6" xr:uid="{C13385B0-3C0C-4583-8BA6-5E8F02CDD464}"/>
  <tableColumns count="2">
    <tableColumn id="1" xr3:uid="{2EA09B28-3346-408F-835B-61CB9E0C034D}" name="moveType" dataDxfId="1"/>
    <tableColumn id="2" xr3:uid="{0464789D-1BC1-4C09-A2BF-7970B5A20C3B}" name="description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7621A-299F-4257-B8F9-1A7109465541}">
  <sheetPr codeName="Sheet4"/>
  <dimension ref="A2:N30"/>
  <sheetViews>
    <sheetView topLeftCell="A3" workbookViewId="0">
      <selection activeCell="H10" sqref="H10"/>
    </sheetView>
  </sheetViews>
  <sheetFormatPr defaultRowHeight="16.5"/>
  <cols>
    <col min="2" max="2" width="19.125" customWidth="1"/>
    <col min="3" max="3" width="15" customWidth="1"/>
    <col min="4" max="4" width="12.5" bestFit="1" customWidth="1"/>
    <col min="5" max="5" width="11.125" bestFit="1" customWidth="1"/>
    <col min="6" max="6" width="11.25" bestFit="1" customWidth="1"/>
    <col min="7" max="7" width="10.25" bestFit="1" customWidth="1"/>
    <col min="8" max="8" width="11.375" bestFit="1" customWidth="1"/>
    <col min="9" max="9" width="7.5" bestFit="1" customWidth="1"/>
    <col min="10" max="10" width="7.625" bestFit="1" customWidth="1"/>
    <col min="11" max="11" width="6.75" bestFit="1" customWidth="1"/>
    <col min="12" max="12" width="10.625" bestFit="1" customWidth="1"/>
    <col min="13" max="13" width="6.125" bestFit="1" customWidth="1"/>
    <col min="14" max="14" width="5.5" bestFit="1" customWidth="1"/>
  </cols>
  <sheetData>
    <row r="2" spans="1:14" ht="26.25">
      <c r="B2" s="25" t="s">
        <v>39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4" spans="1:14" ht="26.25">
      <c r="A4" s="7"/>
      <c r="B4" s="7" t="s">
        <v>41</v>
      </c>
      <c r="C4" s="7"/>
      <c r="D4" s="7"/>
      <c r="E4" s="7"/>
      <c r="F4" s="7"/>
      <c r="G4" s="7"/>
      <c r="H4" s="7"/>
    </row>
    <row r="6" spans="1:14">
      <c r="B6" t="s">
        <v>40</v>
      </c>
      <c r="C6" s="8" t="s">
        <v>52</v>
      </c>
      <c r="D6" s="10" t="s">
        <v>53</v>
      </c>
      <c r="E6" s="10" t="s">
        <v>54</v>
      </c>
      <c r="F6" s="9" t="s">
        <v>55</v>
      </c>
      <c r="G6" s="9" t="s">
        <v>56</v>
      </c>
      <c r="H6" s="10" t="s">
        <v>57</v>
      </c>
      <c r="I6" s="10" t="s">
        <v>0</v>
      </c>
      <c r="J6" s="10" t="s">
        <v>58</v>
      </c>
      <c r="K6" s="10" t="s">
        <v>59</v>
      </c>
      <c r="L6" s="10" t="s">
        <v>60</v>
      </c>
      <c r="M6" s="10" t="s">
        <v>61</v>
      </c>
      <c r="N6" s="10" t="s">
        <v>62</v>
      </c>
    </row>
    <row r="7" spans="1:14">
      <c r="B7" t="s">
        <v>44</v>
      </c>
      <c r="C7" s="23" t="s">
        <v>49</v>
      </c>
      <c r="D7" s="24"/>
      <c r="E7" s="24"/>
      <c r="F7" s="20"/>
      <c r="G7" s="20"/>
      <c r="H7" s="24"/>
      <c r="I7" s="24"/>
      <c r="J7" s="24"/>
      <c r="K7" s="24"/>
      <c r="L7" s="24"/>
      <c r="M7" s="24"/>
      <c r="N7" s="24"/>
    </row>
    <row r="8" spans="1:14" ht="17.25" thickBot="1"/>
    <row r="9" spans="1:14">
      <c r="B9" s="13" t="s">
        <v>63</v>
      </c>
      <c r="C9" s="26" t="s">
        <v>46</v>
      </c>
      <c r="D9" s="26"/>
      <c r="E9" s="27"/>
      <c r="F9" s="12"/>
      <c r="G9" s="12"/>
      <c r="H9" s="2"/>
      <c r="I9" s="2"/>
      <c r="J9" s="2"/>
      <c r="K9" s="2"/>
      <c r="L9" s="2"/>
    </row>
    <row r="10" spans="1:14">
      <c r="B10" s="14" t="s">
        <v>64</v>
      </c>
      <c r="C10" s="28" t="s">
        <v>3</v>
      </c>
      <c r="D10" s="28"/>
      <c r="E10" s="29"/>
      <c r="F10" s="2"/>
      <c r="G10" s="2"/>
      <c r="H10" s="3"/>
      <c r="I10" s="3"/>
      <c r="J10" s="3"/>
      <c r="K10" s="2"/>
      <c r="L10" s="2"/>
    </row>
    <row r="11" spans="1:14" ht="17.25" thickBot="1">
      <c r="B11" s="15" t="s">
        <v>65</v>
      </c>
      <c r="C11" s="30" t="s">
        <v>1</v>
      </c>
      <c r="D11" s="30"/>
      <c r="E11" s="31"/>
      <c r="F11" s="2"/>
      <c r="G11" s="2"/>
      <c r="H11" s="3"/>
      <c r="I11" s="3"/>
      <c r="J11" s="3"/>
      <c r="K11" s="2"/>
      <c r="L11" s="2"/>
    </row>
    <row r="12" spans="1:14">
      <c r="D12" s="4"/>
    </row>
    <row r="13" spans="1:14">
      <c r="B13" s="22" t="s">
        <v>66</v>
      </c>
    </row>
    <row r="14" spans="1:14">
      <c r="B14" s="22" t="s">
        <v>67</v>
      </c>
    </row>
    <row r="15" spans="1:14">
      <c r="B15" s="22" t="s">
        <v>48</v>
      </c>
    </row>
    <row r="16" spans="1:14">
      <c r="B16" s="22" t="s">
        <v>68</v>
      </c>
    </row>
    <row r="18" spans="2:8" ht="26.25">
      <c r="B18" s="7" t="s">
        <v>42</v>
      </c>
      <c r="C18" s="7"/>
      <c r="D18" s="7"/>
      <c r="E18" s="7"/>
      <c r="F18" s="7"/>
      <c r="G18" s="7"/>
      <c r="H18" s="7"/>
    </row>
    <row r="20" spans="2:8">
      <c r="B20" t="s">
        <v>40</v>
      </c>
      <c r="C20" s="21" t="s">
        <v>55</v>
      </c>
      <c r="D20" s="11" t="s">
        <v>69</v>
      </c>
      <c r="E20" s="11" t="s">
        <v>70</v>
      </c>
      <c r="F20" s="11" t="s">
        <v>71</v>
      </c>
      <c r="G20" s="1"/>
      <c r="H20" s="1"/>
    </row>
    <row r="21" spans="2:8">
      <c r="B21" t="s">
        <v>44</v>
      </c>
      <c r="C21" s="32" t="s">
        <v>45</v>
      </c>
      <c r="D21" s="32"/>
    </row>
    <row r="23" spans="2:8">
      <c r="B23" t="s">
        <v>50</v>
      </c>
    </row>
    <row r="25" spans="2:8" ht="26.25">
      <c r="B25" s="7" t="s">
        <v>43</v>
      </c>
      <c r="C25" s="7"/>
      <c r="D25" s="7"/>
      <c r="E25" s="7"/>
      <c r="F25" s="7"/>
    </row>
    <row r="27" spans="2:8">
      <c r="B27" t="s">
        <v>40</v>
      </c>
      <c r="C27" s="21" t="s">
        <v>56</v>
      </c>
      <c r="D27" s="11" t="s">
        <v>71</v>
      </c>
      <c r="E27" s="3"/>
      <c r="F27" s="1"/>
    </row>
    <row r="28" spans="2:8">
      <c r="B28" t="s">
        <v>44</v>
      </c>
      <c r="C28" s="32" t="s">
        <v>47</v>
      </c>
      <c r="D28" s="32"/>
      <c r="E28" s="1"/>
      <c r="F28" s="1"/>
    </row>
    <row r="30" spans="2:8">
      <c r="B30" t="s">
        <v>51</v>
      </c>
    </row>
  </sheetData>
  <mergeCells count="6">
    <mergeCell ref="B2:N2"/>
    <mergeCell ref="C9:E9"/>
    <mergeCell ref="C10:E10"/>
    <mergeCell ref="C11:E11"/>
    <mergeCell ref="C28:D28"/>
    <mergeCell ref="C21:D21"/>
  </mergeCells>
  <phoneticPr fontId="1" type="noConversion"/>
  <hyperlinks>
    <hyperlink ref="C28:D28" location="'MonsterMoveType 테이블'!A1" display="Monster Move Type Table" xr:uid="{986DA5DA-5549-46E3-93E3-C469E5048F23}"/>
    <hyperlink ref="C7" location="'Monster 테이블'!A1" display="Moster Table" xr:uid="{B91F3BB0-0CB4-4277-BDF3-0F78033265B1}"/>
  </hyperlinks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1AC8E-CA27-494A-B628-F9F96FA6B223}">
  <sheetPr codeName="Sheet1"/>
  <dimension ref="B2:M11"/>
  <sheetViews>
    <sheetView zoomScale="85" zoomScaleNormal="85" workbookViewId="0">
      <selection activeCell="D37" sqref="D37"/>
    </sheetView>
  </sheetViews>
  <sheetFormatPr defaultRowHeight="16.5"/>
  <cols>
    <col min="2" max="2" width="21.875" bestFit="1" customWidth="1"/>
    <col min="3" max="4" width="22.875" bestFit="1" customWidth="1"/>
    <col min="5" max="5" width="16.5" bestFit="1" customWidth="1"/>
    <col min="6" max="6" width="15.25" bestFit="1" customWidth="1"/>
    <col min="7" max="7" width="16.5" bestFit="1" customWidth="1"/>
    <col min="8" max="8" width="12.5" bestFit="1" customWidth="1"/>
    <col min="9" max="9" width="12.625" bestFit="1" customWidth="1"/>
    <col min="10" max="10" width="11.875" bestFit="1" customWidth="1"/>
    <col min="11" max="11" width="15.625" bestFit="1" customWidth="1"/>
    <col min="12" max="12" width="11.125" bestFit="1" customWidth="1"/>
    <col min="13" max="13" width="10.125" bestFit="1" customWidth="1"/>
  </cols>
  <sheetData>
    <row r="2" spans="2:13">
      <c r="B2" s="5" t="s">
        <v>52</v>
      </c>
      <c r="C2" s="1" t="s">
        <v>53</v>
      </c>
      <c r="D2" s="1" t="s">
        <v>54</v>
      </c>
      <c r="E2" s="19" t="s">
        <v>55</v>
      </c>
      <c r="F2" s="19" t="s">
        <v>56</v>
      </c>
      <c r="G2" s="1" t="s">
        <v>57</v>
      </c>
      <c r="H2" s="1" t="s">
        <v>0</v>
      </c>
      <c r="I2" s="1" t="s">
        <v>58</v>
      </c>
      <c r="J2" s="1" t="s">
        <v>59</v>
      </c>
      <c r="K2" s="1" t="s">
        <v>60</v>
      </c>
      <c r="L2" s="1" t="s">
        <v>61</v>
      </c>
      <c r="M2" s="1" t="s">
        <v>62</v>
      </c>
    </row>
    <row r="3" spans="2:13">
      <c r="B3" s="6">
        <v>0</v>
      </c>
      <c r="C3" s="1" t="s">
        <v>2</v>
      </c>
      <c r="D3" s="1" t="str">
        <f>"Enemy/Nomal/" &amp; MonsterTable[[#This Row],[enemyName]]</f>
        <v>Enemy/Nomal/Skeleton</v>
      </c>
      <c r="E3" s="20" t="s">
        <v>8</v>
      </c>
      <c r="F3" s="20" t="s">
        <v>34</v>
      </c>
      <c r="G3" s="1">
        <v>1</v>
      </c>
      <c r="H3" s="1">
        <v>100</v>
      </c>
      <c r="I3" s="1">
        <v>5</v>
      </c>
      <c r="J3" s="1">
        <v>3</v>
      </c>
      <c r="K3" s="1">
        <f>(MonsterTable[[#This Row],[maxHp]])/10 + MonsterTable[[#This Row],[damge]]+MonsterTable[[#This Row],[speed]]</f>
        <v>18</v>
      </c>
      <c r="L3" s="1">
        <f>ROUND(MonsterTable[[#This Row],[experience]]/10, 0)</f>
        <v>2</v>
      </c>
      <c r="M3" s="1">
        <f>MonsterTable[[#This Row],[score]]</f>
        <v>2</v>
      </c>
    </row>
    <row r="4" spans="2:13">
      <c r="B4" s="6">
        <v>1</v>
      </c>
      <c r="C4" s="1" t="s">
        <v>19</v>
      </c>
      <c r="D4" s="1" t="str">
        <f>"Enemy/Nomal/" &amp; MonsterTable[[#This Row],[enemyName]]</f>
        <v>Enemy/Nomal/Orc</v>
      </c>
      <c r="E4" s="20" t="s">
        <v>22</v>
      </c>
      <c r="F4" s="20" t="s">
        <v>34</v>
      </c>
      <c r="G4" s="1">
        <v>6</v>
      </c>
      <c r="H4" s="1">
        <v>200</v>
      </c>
      <c r="I4" s="1">
        <v>10</v>
      </c>
      <c r="J4" s="1">
        <v>2</v>
      </c>
      <c r="K4" s="1">
        <f>(MonsterTable[[#This Row],[maxHp]])/10 + MonsterTable[[#This Row],[damge]]+MonsterTable[[#This Row],[speed]]</f>
        <v>32</v>
      </c>
      <c r="L4" s="1">
        <f>ROUND(MonsterTable[[#This Row],[experience]]/10, 0)</f>
        <v>3</v>
      </c>
      <c r="M4" s="1">
        <f>MonsterTable[[#This Row],[score]]</f>
        <v>3</v>
      </c>
    </row>
    <row r="5" spans="2:13">
      <c r="B5" s="6">
        <v>2</v>
      </c>
      <c r="C5" s="1" t="s">
        <v>17</v>
      </c>
      <c r="D5" s="1" t="str">
        <f>"Enemy/Nomal/" &amp; MonsterTable[[#This Row],[enemyName]]</f>
        <v>Enemy/Nomal/Wolf</v>
      </c>
      <c r="E5" s="20" t="s">
        <v>28</v>
      </c>
      <c r="F5" s="20" t="s">
        <v>35</v>
      </c>
      <c r="G5" s="1">
        <v>10</v>
      </c>
      <c r="H5" s="1">
        <v>80</v>
      </c>
      <c r="I5" s="1">
        <v>6</v>
      </c>
      <c r="J5" s="1">
        <v>6</v>
      </c>
      <c r="K5" s="1">
        <f>(MonsterTable[[#This Row],[maxHp]])/10 + MonsterTable[[#This Row],[damge]]+MonsterTable[[#This Row],[speed]]</f>
        <v>20</v>
      </c>
      <c r="L5" s="1">
        <f>ROUND(MonsterTable[[#This Row],[experience]]/10, 0)</f>
        <v>2</v>
      </c>
      <c r="M5" s="1">
        <f>MonsterTable[[#This Row],[score]]</f>
        <v>2</v>
      </c>
    </row>
    <row r="6" spans="2:13">
      <c r="B6" s="6">
        <v>3</v>
      </c>
      <c r="C6" s="1" t="s">
        <v>18</v>
      </c>
      <c r="D6" s="1" t="str">
        <f>"Enemy/Nomal/" &amp; MonsterTable[[#This Row],[enemyName]]</f>
        <v>Enemy/Nomal/Goblin</v>
      </c>
      <c r="E6" s="20" t="s">
        <v>33</v>
      </c>
      <c r="F6" s="20" t="s">
        <v>35</v>
      </c>
      <c r="G6" s="1">
        <v>5</v>
      </c>
      <c r="H6" s="1">
        <v>60</v>
      </c>
      <c r="I6" s="1">
        <v>4</v>
      </c>
      <c r="J6" s="1">
        <v>4</v>
      </c>
      <c r="K6" s="1">
        <f>(MonsterTable[[#This Row],[maxHp]])/10 + MonsterTable[[#This Row],[damge]]+MonsterTable[[#This Row],[speed]]</f>
        <v>14</v>
      </c>
      <c r="L6" s="1">
        <f>ROUND(MonsterTable[[#This Row],[experience]]/10, 0)</f>
        <v>1</v>
      </c>
      <c r="M6" s="1">
        <f>MonsterTable[[#This Row],[score]]</f>
        <v>1</v>
      </c>
    </row>
    <row r="7" spans="2:13">
      <c r="B7" s="6">
        <v>4</v>
      </c>
      <c r="C7" s="1" t="s">
        <v>20</v>
      </c>
      <c r="D7" s="1" t="str">
        <f>"Enemy/Nomal/" &amp; MonsterTable[[#This Row],[enemyName]]</f>
        <v>Enemy/Nomal/Zombie</v>
      </c>
      <c r="E7" s="20" t="s">
        <v>8</v>
      </c>
      <c r="F7" s="20" t="s">
        <v>34</v>
      </c>
      <c r="G7" s="1">
        <v>1</v>
      </c>
      <c r="H7" s="1">
        <v>120</v>
      </c>
      <c r="I7" s="1">
        <v>6</v>
      </c>
      <c r="J7" s="1">
        <v>2</v>
      </c>
      <c r="K7" s="1">
        <f>(MonsterTable[[#This Row],[maxHp]])/10 + MonsterTable[[#This Row],[damge]]+MonsterTable[[#This Row],[speed]]</f>
        <v>20</v>
      </c>
      <c r="L7" s="1">
        <f>ROUND(MonsterTable[[#This Row],[experience]]/10, 0)</f>
        <v>2</v>
      </c>
      <c r="M7" s="1">
        <f>MonsterTable[[#This Row],[score]]</f>
        <v>2</v>
      </c>
    </row>
    <row r="8" spans="2:13">
      <c r="B8" s="6">
        <v>5</v>
      </c>
      <c r="C8" s="1" t="s">
        <v>21</v>
      </c>
      <c r="D8" s="1" t="str">
        <f>"Enemy/Nomal/" &amp; MonsterTable[[#This Row],[enemyName]]</f>
        <v>Enemy/Nomal/Troll</v>
      </c>
      <c r="E8" s="20" t="s">
        <v>8</v>
      </c>
      <c r="F8" s="20" t="s">
        <v>34</v>
      </c>
      <c r="G8" s="1">
        <v>30</v>
      </c>
      <c r="H8" s="1">
        <v>1000</v>
      </c>
      <c r="I8" s="1">
        <v>30</v>
      </c>
      <c r="J8" s="1">
        <v>3</v>
      </c>
      <c r="K8" s="1">
        <f>(MonsterTable[[#This Row],[maxHp]])/10 + MonsterTable[[#This Row],[damge]]+MonsterTable[[#This Row],[speed]]</f>
        <v>133</v>
      </c>
      <c r="L8" s="1">
        <f>ROUND(MonsterTable[[#This Row],[experience]]/10, 0)</f>
        <v>13</v>
      </c>
      <c r="M8" s="1">
        <f>MonsterTable[[#This Row],[score]]</f>
        <v>13</v>
      </c>
    </row>
    <row r="9" spans="2:13">
      <c r="B9" s="6">
        <v>6</v>
      </c>
      <c r="C9" s="1" t="s">
        <v>31</v>
      </c>
      <c r="D9" s="1" t="str">
        <f>"Enemy/Nomal/" &amp; MonsterTable[[#This Row],[enemyName]]</f>
        <v>Enemy/Nomal/Kobold</v>
      </c>
      <c r="E9" s="20" t="s">
        <v>26</v>
      </c>
      <c r="F9" s="20" t="s">
        <v>35</v>
      </c>
      <c r="G9" s="1">
        <v>6</v>
      </c>
      <c r="H9" s="1">
        <v>100</v>
      </c>
      <c r="I9" s="1">
        <v>6</v>
      </c>
      <c r="J9" s="1">
        <v>5</v>
      </c>
      <c r="K9" s="1">
        <f>(MonsterTable[[#This Row],[maxHp]])/10 + MonsterTable[[#This Row],[damge]]+MonsterTable[[#This Row],[speed]]</f>
        <v>21</v>
      </c>
      <c r="L9" s="1">
        <f>ROUND(MonsterTable[[#This Row],[experience]]/10, 0)</f>
        <v>2</v>
      </c>
      <c r="M9" s="1">
        <f>MonsterTable[[#This Row],[score]]</f>
        <v>2</v>
      </c>
    </row>
    <row r="10" spans="2:13">
      <c r="B10" s="6">
        <v>7</v>
      </c>
      <c r="C10" s="1" t="s">
        <v>32</v>
      </c>
      <c r="D10" s="1" t="str">
        <f>"Enemy/Nomal/" &amp; MonsterTable[[#This Row],[enemyName]]</f>
        <v>Enemy/Nomal/Harpy</v>
      </c>
      <c r="E10" s="20" t="s">
        <v>24</v>
      </c>
      <c r="F10" s="20" t="s">
        <v>74</v>
      </c>
      <c r="G10" s="1">
        <v>6</v>
      </c>
      <c r="H10" s="1">
        <v>150</v>
      </c>
      <c r="I10" s="1">
        <v>6</v>
      </c>
      <c r="J10" s="1">
        <v>8</v>
      </c>
      <c r="K10" s="1">
        <f>(MonsterTable[[#This Row],[maxHp]])/10 + MonsterTable[[#This Row],[damge]]+MonsterTable[[#This Row],[speed]]</f>
        <v>29</v>
      </c>
      <c r="L10" s="1">
        <f>ROUND(MonsterTable[[#This Row],[experience]]/10, 0)</f>
        <v>3</v>
      </c>
      <c r="M10" s="1">
        <f>MonsterTable[[#This Row],[score]]</f>
        <v>3</v>
      </c>
    </row>
    <row r="11" spans="2:13">
      <c r="B11" s="6">
        <v>8</v>
      </c>
      <c r="C11" s="1" t="s">
        <v>36</v>
      </c>
      <c r="D11" s="1" t="str">
        <f>"Enemy/Nomal/" &amp; MonsterTable[[#This Row],[enemyName]]</f>
        <v>Enemy/Nomal/Lich</v>
      </c>
      <c r="E11" s="20" t="s">
        <v>8</v>
      </c>
      <c r="F11" s="20" t="s">
        <v>37</v>
      </c>
      <c r="G11" s="1">
        <v>90</v>
      </c>
      <c r="H11" s="1">
        <v>800</v>
      </c>
      <c r="I11" s="1">
        <v>30</v>
      </c>
      <c r="J11" s="1">
        <v>6</v>
      </c>
      <c r="K11" s="1">
        <f>(MonsterTable[[#This Row],[maxHp]])/10 + MonsterTable[[#This Row],[damge]]+MonsterTable[[#This Row],[speed]]</f>
        <v>116</v>
      </c>
      <c r="L11" s="1">
        <f>ROUND(MonsterTable[[#This Row],[experience]]/10, 0)</f>
        <v>12</v>
      </c>
      <c r="M11" s="1">
        <f>MonsterTable[[#This Row],[score]]</f>
        <v>12</v>
      </c>
    </row>
  </sheetData>
  <phoneticPr fontId="1" type="noConversion"/>
  <dataValidations count="2">
    <dataValidation type="list" allowBlank="1" showInputMessage="1" showErrorMessage="1" sqref="F3:F11" xr:uid="{37363546-84B2-4766-9318-B8FE98A606AC}">
      <formula1>INDIRECT("'MonsterMoveType 테이블'!"&amp;"MoveType[MoveType]")</formula1>
    </dataValidation>
    <dataValidation type="list" allowBlank="1" showInputMessage="1" showErrorMessage="1" sqref="E3:E11" xr:uid="{68901F77-EF5A-4433-825C-486F58A22421}">
      <formula1>INDIRECT("'MonsterCreateType 테이블'!"&amp;"CreateType[CreateType]")</formula1>
    </dataValidation>
  </dataValidations>
  <pageMargins left="0.7" right="0.7" top="0.75" bottom="0.75" header="0.3" footer="0.3"/>
  <pageSetup paperSize="9" orientation="portrait" horizontalDpi="4294967292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1046B-5E13-4EAB-B3D0-65D7FF3FA305}">
  <sheetPr codeName="Sheet2"/>
  <dimension ref="B2:G9"/>
  <sheetViews>
    <sheetView zoomScale="85" zoomScaleNormal="85" workbookViewId="0">
      <selection activeCell="G8" sqref="G8"/>
    </sheetView>
  </sheetViews>
  <sheetFormatPr defaultRowHeight="16.5"/>
  <cols>
    <col min="2" max="2" width="16.5" bestFit="1" customWidth="1"/>
    <col min="3" max="3" width="17.5" bestFit="1" customWidth="1"/>
    <col min="4" max="4" width="9.625" bestFit="1" customWidth="1"/>
    <col min="5" max="5" width="13.125" customWidth="1"/>
    <col min="6" max="6" width="12.875" customWidth="1"/>
    <col min="7" max="7" width="52.25" bestFit="1" customWidth="1"/>
  </cols>
  <sheetData>
    <row r="2" spans="2:7">
      <c r="B2" s="16" t="s">
        <v>55</v>
      </c>
      <c r="C2" s="1" t="s">
        <v>69</v>
      </c>
      <c r="D2" s="1" t="s">
        <v>72</v>
      </c>
      <c r="E2" s="1" t="s">
        <v>73</v>
      </c>
      <c r="F2" s="1" t="s">
        <v>70</v>
      </c>
      <c r="G2" s="1" t="s">
        <v>71</v>
      </c>
    </row>
    <row r="3" spans="2:7">
      <c r="B3" s="17" t="s">
        <v>9</v>
      </c>
      <c r="C3" s="1">
        <v>1</v>
      </c>
      <c r="D3" s="1">
        <v>5</v>
      </c>
      <c r="E3" s="1">
        <v>10</v>
      </c>
      <c r="F3" s="1" t="s">
        <v>16</v>
      </c>
      <c r="G3" s="1" t="str">
        <f>CreateType[[#This Row],[min]] &amp; "과 " &amp; CreateType[[#This Row],[max]] &amp; " 사이에서 " &amp; CreateType[[#This Row],[createCount]] &amp; "개의 몬스터를 " &amp; CreateType[[#This Row],[feature]] &amp; " 생성합니다."</f>
        <v>5과 10 사이에서 1개의 몬스터를 개별로 생성합니다.</v>
      </c>
    </row>
    <row r="4" spans="2:7">
      <c r="B4" s="17" t="s">
        <v>23</v>
      </c>
      <c r="C4" s="1">
        <v>3</v>
      </c>
      <c r="D4" s="1">
        <v>5</v>
      </c>
      <c r="E4" s="1">
        <v>10</v>
      </c>
      <c r="F4" s="1" t="s">
        <v>15</v>
      </c>
      <c r="G4" s="1" t="str">
        <f>CreateType[[#This Row],[min]] &amp; "과 " &amp; CreateType[[#This Row],[max]] &amp; " 사이에서 " &amp; CreateType[[#This Row],[createCount]] &amp; "개의 몬스터를 " &amp; CreateType[[#This Row],[feature]] &amp; " 생성합니다."</f>
        <v>5과 10 사이에서 3개의 몬스터를 군집으로 생성합니다.</v>
      </c>
    </row>
    <row r="5" spans="2:7">
      <c r="B5" s="17" t="s">
        <v>25</v>
      </c>
      <c r="C5" s="1">
        <v>6</v>
      </c>
      <c r="D5" s="1">
        <v>5</v>
      </c>
      <c r="E5" s="1">
        <v>10</v>
      </c>
      <c r="F5" s="1" t="s">
        <v>15</v>
      </c>
      <c r="G5" s="1" t="str">
        <f>CreateType[[#This Row],[min]] &amp; "과 " &amp; CreateType[[#This Row],[max]] &amp; " 사이에서 " &amp; CreateType[[#This Row],[createCount]] &amp; "개의 몬스터를 " &amp; CreateType[[#This Row],[feature]] &amp; " 생성합니다."</f>
        <v>5과 10 사이에서 6개의 몬스터를 군집으로 생성합니다.</v>
      </c>
    </row>
    <row r="6" spans="2:7">
      <c r="B6" s="17" t="s">
        <v>27</v>
      </c>
      <c r="C6" s="1">
        <v>9</v>
      </c>
      <c r="D6" s="1">
        <v>5</v>
      </c>
      <c r="E6" s="1">
        <v>10</v>
      </c>
      <c r="F6" s="1" t="s">
        <v>15</v>
      </c>
      <c r="G6" s="1" t="str">
        <f>CreateType[[#This Row],[min]] &amp; "과 " &amp; CreateType[[#This Row],[max]] &amp; " 사이에서 " &amp; CreateType[[#This Row],[createCount]] &amp; "개의 몬스터를 " &amp; CreateType[[#This Row],[feature]] &amp; " 생성합니다."</f>
        <v>5과 10 사이에서 9개의 몬스터를 군집으로 생성합니다.</v>
      </c>
    </row>
    <row r="7" spans="2:7">
      <c r="B7" s="17" t="s">
        <v>13</v>
      </c>
      <c r="C7" s="1">
        <v>8</v>
      </c>
      <c r="D7" s="1">
        <v>5</v>
      </c>
      <c r="E7" s="1">
        <v>10</v>
      </c>
      <c r="F7" s="1" t="s">
        <v>38</v>
      </c>
      <c r="G7" s="1" t="str">
        <f>CreateType[[#This Row],[min]] &amp; "과 " &amp; CreateType[[#This Row],[max]] &amp; " 사이에서 " &amp; CreateType[[#This Row],[createCount]] &amp; "개의 몬스터를 " &amp; CreateType[[#This Row],[feature]] &amp; " 생성합니다."</f>
        <v>5과 10 사이에서 8개의 몬스터를 벽처럼 생성합니다.</v>
      </c>
    </row>
    <row r="8" spans="2:7">
      <c r="B8" s="17" t="s">
        <v>29</v>
      </c>
      <c r="C8" s="1">
        <v>12</v>
      </c>
      <c r="D8" s="1">
        <v>5</v>
      </c>
      <c r="E8" s="1">
        <v>10</v>
      </c>
      <c r="F8" s="1" t="s">
        <v>14</v>
      </c>
      <c r="G8" s="1" t="str">
        <f>CreateType[[#This Row],[min]] &amp; "과 " &amp; CreateType[[#This Row],[max]] &amp; " 사이에서 " &amp; CreateType[[#This Row],[createCount]] &amp; "개의 몬스터를 " &amp; CreateType[[#This Row],[feature]] &amp; " 생성합니다."</f>
        <v>5과 10 사이에서 12개의 몬스터를 포위하여 생성합니다.</v>
      </c>
    </row>
    <row r="9" spans="2:7">
      <c r="B9" s="17" t="s">
        <v>30</v>
      </c>
      <c r="C9" s="1">
        <v>16</v>
      </c>
      <c r="D9" s="1">
        <v>5</v>
      </c>
      <c r="E9" s="1">
        <v>10</v>
      </c>
      <c r="F9" s="1" t="s">
        <v>14</v>
      </c>
      <c r="G9" s="1" t="str">
        <f>CreateType[[#This Row],[min]] &amp; "과 " &amp; CreateType[[#This Row],[max]] &amp; " 사이에서 " &amp; CreateType[[#This Row],[createCount]] &amp; "개의 몬스터를 " &amp; CreateType[[#This Row],[feature]] &amp; " 생성합니다."</f>
        <v>5과 10 사이에서 16개의 몬스터를 포위하여 생성합니다.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269A-6102-4F31-ABC9-F0C6BB812E1A}">
  <sheetPr codeName="Sheet3"/>
  <dimension ref="B2:C13"/>
  <sheetViews>
    <sheetView tabSelected="1" workbookViewId="0">
      <selection activeCell="D19" sqref="D19"/>
    </sheetView>
  </sheetViews>
  <sheetFormatPr defaultRowHeight="16.5"/>
  <cols>
    <col min="1" max="1" width="4.125" customWidth="1"/>
    <col min="2" max="2" width="14.875" bestFit="1" customWidth="1"/>
    <col min="3" max="3" width="30.125" bestFit="1" customWidth="1"/>
  </cols>
  <sheetData>
    <row r="2" spans="2:3">
      <c r="B2" s="16" t="s">
        <v>56</v>
      </c>
      <c r="C2" s="1" t="s">
        <v>71</v>
      </c>
    </row>
    <row r="3" spans="2:3">
      <c r="B3" s="17" t="s">
        <v>10</v>
      </c>
      <c r="C3" s="1" t="s">
        <v>4</v>
      </c>
    </row>
    <row r="4" spans="2:3">
      <c r="B4" s="17" t="s">
        <v>11</v>
      </c>
      <c r="C4" s="1" t="s">
        <v>5</v>
      </c>
    </row>
    <row r="5" spans="2:3">
      <c r="B5" s="17" t="s">
        <v>12</v>
      </c>
      <c r="C5" s="1" t="s">
        <v>6</v>
      </c>
    </row>
    <row r="6" spans="2:3">
      <c r="B6" s="17" t="s">
        <v>75</v>
      </c>
      <c r="C6" s="1" t="s">
        <v>7</v>
      </c>
    </row>
    <row r="13" spans="2:3">
      <c r="C13" s="18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테이블 설명</vt:lpstr>
      <vt:lpstr>Monster 테이블</vt:lpstr>
      <vt:lpstr>MonsterCreateType 테이블</vt:lpstr>
      <vt:lpstr>MonsterMoveType 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GIKU HINA</dc:creator>
  <cp:lastModifiedBy>GIKU HINA</cp:lastModifiedBy>
  <dcterms:created xsi:type="dcterms:W3CDTF">2022-11-29T20:17:41Z</dcterms:created>
  <dcterms:modified xsi:type="dcterms:W3CDTF">2022-12-23T08:15:37Z</dcterms:modified>
</cp:coreProperties>
</file>